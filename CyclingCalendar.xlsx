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/>
  <calcPr/>
</workbook>
</file>

<file path=xl/sharedStrings.xml><?xml version="1.0" encoding="utf-8"?>
<sst xmlns="http://schemas.openxmlformats.org/spreadsheetml/2006/main" count="35" uniqueCount="35">
  <si>
    <t>Nom</t>
  </si>
  <si>
    <t>Date-début</t>
  </si>
  <si>
    <t>Date-fin</t>
  </si>
  <si>
    <t>Statut-import</t>
  </si>
  <si>
    <t>Strade Bianche</t>
  </si>
  <si>
    <t>Paris-Nice Début</t>
  </si>
  <si>
    <t>Paris-Nice Fin</t>
  </si>
  <si>
    <t>Tirreno-Adriatico Début</t>
  </si>
  <si>
    <t>Tirreno-Adriatico Fin</t>
  </si>
  <si>
    <t>Milano-Sanremo</t>
  </si>
  <si>
    <t>E3 Saxo Classic</t>
  </si>
  <si>
    <t>Gand-Wevelgem</t>
  </si>
  <si>
    <t>A travers la Flandre</t>
  </si>
  <si>
    <t>Ronde van Vlaanderen</t>
  </si>
  <si>
    <t>Paris-Roubaix</t>
  </si>
  <si>
    <t>La Flèche Brabançonne</t>
  </si>
  <si>
    <t>Amstel Gold Race</t>
  </si>
  <si>
    <t>La Flèche Wallonne</t>
  </si>
  <si>
    <t>Liège-Bastogne-Liège</t>
  </si>
  <si>
    <t>Tour de Romandie Début</t>
  </si>
  <si>
    <t>Tour de Romandie Fin</t>
  </si>
  <si>
    <t>Giro d’Italia Début</t>
  </si>
  <si>
    <t>Giro d’Italia Fin</t>
  </si>
  <si>
    <t>Tro-Bro Léon</t>
  </si>
  <si>
    <t>Paris-Troyes</t>
  </si>
  <si>
    <t>National Road Championships – France</t>
  </si>
  <si>
    <t>Tour de France Début</t>
  </si>
  <si>
    <t>Tour de France Fin</t>
  </si>
  <si>
    <t>Vuelta a España Début</t>
  </si>
  <si>
    <t>Vuelta a España Fin</t>
  </si>
  <si>
    <t>Bretagne Classic-CIC</t>
  </si>
  <si>
    <t>Grand Prix Cycliste de Québec</t>
  </si>
  <si>
    <t>Grand Prix Cycliste de Montréal</t>
  </si>
  <si>
    <t>Il Lombardia</t>
  </si>
  <si>
    <t>Paris-Tours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</si>
</sst>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276225</xdr:rowOff>
    </xdr:from>
    <xdr:ext cx="838200" cy="485775"/>
    <xdr:sp>
      <xdr:nvSpPr>
        <xdr:cNvPr id="3" name="Shape 3"/>
        <xdr:cNvSpPr/>
      </xdr:nvSpPr>
      <xdr:spPr>
        <a:xfrm>
          <a:off x="487250" y="334975"/>
          <a:ext cx="822300" cy="467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D32" displayName="Courses" name="Courses" id="1">
  <tableColumns count="4">
    <tableColumn name="Nom" id="1"/>
    <tableColumn name="Date-début" id="2"/>
    <tableColumn name="Date-fin" id="3"/>
    <tableColumn name="Statut-import" id="4"/>
  </tableColumns>
  <tableStyleInfo name="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16.88"/>
    <col customWidth="1" min="4" max="4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1" t="s">
        <v>4</v>
      </c>
      <c r="B2" s="3">
        <f>DATE(2026,3,7)</f>
        <v>46088</v>
      </c>
      <c r="C2" s="3">
        <f t="shared" ref="C2:C32" si="1">B2</f>
        <v>46088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1" t="s">
        <v>5</v>
      </c>
      <c r="B3" s="3">
        <f>DATE(2026,3,8)</f>
        <v>46089</v>
      </c>
      <c r="C3" s="3">
        <f t="shared" si="1"/>
        <v>46089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1" t="s">
        <v>6</v>
      </c>
      <c r="B4" s="3">
        <f>DATE(2026,3,15)</f>
        <v>46096</v>
      </c>
      <c r="C4" s="3">
        <f t="shared" si="1"/>
        <v>46096</v>
      </c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1" t="s">
        <v>7</v>
      </c>
      <c r="B5" s="3">
        <f>DATE(2026,3,9)</f>
        <v>46090</v>
      </c>
      <c r="C5" s="3">
        <f t="shared" si="1"/>
        <v>46090</v>
      </c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1" t="s">
        <v>8</v>
      </c>
      <c r="B6" s="3">
        <f>DATE(2026,3,15)</f>
        <v>46096</v>
      </c>
      <c r="C6" s="3">
        <f t="shared" si="1"/>
        <v>46096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1" t="s">
        <v>9</v>
      </c>
      <c r="B7" s="3">
        <f>DATE(2026,3,21)</f>
        <v>46102</v>
      </c>
      <c r="C7" s="3">
        <f t="shared" si="1"/>
        <v>46102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" t="s">
        <v>10</v>
      </c>
      <c r="B8" s="3">
        <f>DATE(2026,3,27)</f>
        <v>46108</v>
      </c>
      <c r="C8" s="3">
        <f t="shared" si="1"/>
        <v>46108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1" t="s">
        <v>11</v>
      </c>
      <c r="B9" s="3">
        <f>DATE(2026,3,29)</f>
        <v>46110</v>
      </c>
      <c r="C9" s="3">
        <f t="shared" si="1"/>
        <v>46110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1" t="s">
        <v>12</v>
      </c>
      <c r="B10" s="3">
        <f>DATE(2026,4,1)</f>
        <v>46113</v>
      </c>
      <c r="C10" s="3">
        <f t="shared" si="1"/>
        <v>46113</v>
      </c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1" t="s">
        <v>13</v>
      </c>
      <c r="B11" s="3">
        <f>DATE(2026,4,5)</f>
        <v>46117</v>
      </c>
      <c r="C11" s="3">
        <f t="shared" si="1"/>
        <v>46117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1" t="s">
        <v>14</v>
      </c>
      <c r="B12" s="3">
        <f>DATE(2026,4,12)</f>
        <v>46124</v>
      </c>
      <c r="C12" s="3">
        <f t="shared" si="1"/>
        <v>46124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4" t="s">
        <v>15</v>
      </c>
      <c r="B13" s="3">
        <f>DATE(2026,4,17)</f>
        <v>46129</v>
      </c>
      <c r="C13" s="3">
        <f t="shared" si="1"/>
        <v>46129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4" t="s">
        <v>16</v>
      </c>
      <c r="B14" s="5">
        <f>DATE(2026,4,19)</f>
        <v>46131</v>
      </c>
      <c r="C14" s="3">
        <f t="shared" si="1"/>
        <v>46131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4" t="s">
        <v>17</v>
      </c>
      <c r="B15" s="5">
        <f>DATE(2026,4,22)</f>
        <v>46134</v>
      </c>
      <c r="C15" s="5">
        <f t="shared" si="1"/>
        <v>46134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2.5" customHeight="1">
      <c r="A16" s="4" t="s">
        <v>18</v>
      </c>
      <c r="B16" s="5">
        <f>DATE(2026,4,26)</f>
        <v>46138</v>
      </c>
      <c r="C16" s="5">
        <f t="shared" si="1"/>
        <v>46138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2.5" customHeight="1">
      <c r="A17" s="4" t="s">
        <v>19</v>
      </c>
      <c r="B17" s="5">
        <f>DATE(2026,4,28)</f>
        <v>46140</v>
      </c>
      <c r="C17" s="5">
        <f t="shared" si="1"/>
        <v>46140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2.5" customHeight="1">
      <c r="A18" s="4" t="s">
        <v>20</v>
      </c>
      <c r="B18" s="5">
        <f>DATE(2026,5,3)</f>
        <v>46145</v>
      </c>
      <c r="C18" s="5">
        <f t="shared" si="1"/>
        <v>46145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2.5" customHeight="1">
      <c r="A19" s="4" t="s">
        <v>21</v>
      </c>
      <c r="B19" s="5">
        <f>DATE(2026,5,8)</f>
        <v>46150</v>
      </c>
      <c r="C19" s="5">
        <f t="shared" si="1"/>
        <v>46150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2.5" customHeight="1">
      <c r="A20" s="4" t="s">
        <v>22</v>
      </c>
      <c r="B20" s="5">
        <f>DATE(2026,5,31)</f>
        <v>46173</v>
      </c>
      <c r="C20" s="5">
        <f t="shared" si="1"/>
        <v>46173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4" t="s">
        <v>23</v>
      </c>
      <c r="B21" s="5">
        <f>DATE(2026,5,10)</f>
        <v>46152</v>
      </c>
      <c r="C21" s="5">
        <f t="shared" si="1"/>
        <v>46152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4" t="s">
        <v>24</v>
      </c>
      <c r="B22" s="5">
        <f>DATE(2026,5,25)</f>
        <v>46167</v>
      </c>
      <c r="C22" s="5">
        <f t="shared" si="1"/>
        <v>46167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4" t="s">
        <v>25</v>
      </c>
      <c r="B23" s="5">
        <f>DATE(2026,6,28)</f>
        <v>46201</v>
      </c>
      <c r="C23" s="5">
        <f t="shared" si="1"/>
        <v>46201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4" t="s">
        <v>26</v>
      </c>
      <c r="B24" s="5">
        <f>DATE(2026,7,4)</f>
        <v>46207</v>
      </c>
      <c r="C24" s="5">
        <f t="shared" si="1"/>
        <v>46207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2.5" customHeight="1">
      <c r="A25" s="4" t="s">
        <v>27</v>
      </c>
      <c r="B25" s="5">
        <f>DATE(2026,7,26)</f>
        <v>46229</v>
      </c>
      <c r="C25" s="5">
        <f t="shared" si="1"/>
        <v>46229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2.5" customHeight="1">
      <c r="A26" s="4" t="s">
        <v>28</v>
      </c>
      <c r="B26" s="5">
        <f>DATE(2026,8,22)</f>
        <v>46256</v>
      </c>
      <c r="C26" s="5">
        <f t="shared" si="1"/>
        <v>46256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2.5" customHeight="1">
      <c r="A27" s="4" t="s">
        <v>29</v>
      </c>
      <c r="B27" s="5">
        <f>DATE(2026,9,13)</f>
        <v>46278</v>
      </c>
      <c r="C27" s="5">
        <f t="shared" si="1"/>
        <v>46278</v>
      </c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2.5" customHeight="1">
      <c r="A28" s="4" t="s">
        <v>30</v>
      </c>
      <c r="B28" s="5">
        <f>DATE(2026,8,30)</f>
        <v>46264</v>
      </c>
      <c r="C28" s="5">
        <f t="shared" si="1"/>
        <v>46264</v>
      </c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4" t="s">
        <v>31</v>
      </c>
      <c r="B29" s="5">
        <f>DATE(2026,9,11)</f>
        <v>46276</v>
      </c>
      <c r="C29" s="5">
        <f t="shared" si="1"/>
        <v>46276</v>
      </c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2.5" customHeight="1">
      <c r="A30" s="4" t="s">
        <v>32</v>
      </c>
      <c r="B30" s="5">
        <f>DATE(2026,9,13)</f>
        <v>46278</v>
      </c>
      <c r="C30" s="5">
        <f t="shared" si="1"/>
        <v>46278</v>
      </c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2.5" customHeight="1">
      <c r="A31" s="4" t="s">
        <v>33</v>
      </c>
      <c r="B31" s="5">
        <f>DATE(2026,10,10)</f>
        <v>46305</v>
      </c>
      <c r="C31" s="5">
        <f t="shared" si="1"/>
        <v>46305</v>
      </c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2.5" customHeight="1">
      <c r="A32" s="4" t="s">
        <v>34</v>
      </c>
      <c r="B32" s="5">
        <f>DATE(2026,10,11)</f>
        <v>46306</v>
      </c>
      <c r="C32" s="5">
        <f t="shared" si="1"/>
        <v>46306</v>
      </c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dataValidations>
    <dataValidation type="custom" allowBlank="1" showDropDown="1" sqref="B2:B32">
      <formula1>OR(NOT(ISERROR(DATEVALUE(B2))), AND(ISNUMBER(B2), LEFT(CELL("format", B2))="D"))</formula1>
    </dataValidation>
  </dataValidations>
  <drawing r:id="rId1"/>
  <tableParts count="1">
    <tablePart r:id="rId3"/>
  </tableParts>
</worksheet>
</file>